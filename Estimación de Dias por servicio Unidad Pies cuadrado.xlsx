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red\Programas\Golf 2\"/>
    </mc:Choice>
  </mc:AlternateContent>
  <xr:revisionPtr revIDLastSave="0" documentId="13_ncr:1_{6AD8F0A8-EE6C-43A3-AD81-B8D8191FF6B4}" xr6:coauthVersionLast="47" xr6:coauthVersionMax="47" xr10:uidLastSave="{00000000-0000-0000-0000-000000000000}"/>
  <bookViews>
    <workbookView xWindow="-110" yWindow="-110" windowWidth="19420" windowHeight="10300" xr2:uid="{A5A6117D-28CC-4D21-8E22-9E57777C4A99}"/>
  </bookViews>
  <sheets>
    <sheet name="Estimación tiempo" sheetId="4" r:id="rId1"/>
    <sheet name="Datos" sheetId="2" r:id="rId2"/>
    <sheet name="Hoja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4" l="1"/>
  <c r="G5" i="4"/>
  <c r="C8" i="4"/>
  <c r="G8" i="4"/>
  <c r="I8" i="4" s="1"/>
  <c r="G7" i="4"/>
  <c r="I7" i="4" s="1"/>
  <c r="I9" i="4" l="1"/>
  <c r="G10" i="4" s="1"/>
  <c r="G13" i="4" s="1"/>
  <c r="G15" i="4" l="1"/>
  <c r="G14" i="4"/>
</calcChain>
</file>

<file path=xl/sharedStrings.xml><?xml version="1.0" encoding="utf-8"?>
<sst xmlns="http://schemas.openxmlformats.org/spreadsheetml/2006/main" count="44" uniqueCount="42">
  <si>
    <t>Swell Factor (%)</t>
  </si>
  <si>
    <t>Maquinarias</t>
  </si>
  <si>
    <t>Qty</t>
  </si>
  <si>
    <t>Maquinas</t>
  </si>
  <si>
    <t>SCRAPER</t>
  </si>
  <si>
    <t>Viajes x Día</t>
  </si>
  <si>
    <t>Cantidad</t>
  </si>
  <si>
    <t>Cantidad Dias Trabajo</t>
  </si>
  <si>
    <t>Fecha Inicio:</t>
  </si>
  <si>
    <t>Fecha Fin</t>
  </si>
  <si>
    <t>Cantidad de meses</t>
  </si>
  <si>
    <t>Días Totales</t>
  </si>
  <si>
    <t>Pies cuadrados:</t>
  </si>
  <si>
    <t>LF</t>
  </si>
  <si>
    <t>Espesor (Pulgadas)</t>
  </si>
  <si>
    <t>Variable</t>
  </si>
  <si>
    <t>Abreviatura</t>
  </si>
  <si>
    <t>Unidad</t>
  </si>
  <si>
    <t>Definición Técnica</t>
  </si>
  <si>
    <t>Área</t>
  </si>
  <si>
    <t>SQ FT</t>
  </si>
  <si>
    <t>Pies Cuadrados</t>
  </si>
  <si>
    <t>La superficie total de la zona a intervenir.</t>
  </si>
  <si>
    <t>Profundidad</t>
  </si>
  <si>
    <t>IN</t>
  </si>
  <si>
    <t>Pulgadas</t>
  </si>
  <si>
    <t>El espesor de la capa de material (Arena/Grava).</t>
  </si>
  <si>
    <t>Rendimiento</t>
  </si>
  <si>
    <t>RND</t>
  </si>
  <si>
    <t>SQ FT / HR</t>
  </si>
  <si>
    <t>Cuántos pies cuadrados procesa la máquina por hora.</t>
  </si>
  <si>
    <t>Esponjamiento</t>
  </si>
  <si>
    <t>SF</t>
  </si>
  <si>
    <t>Factor (1.15)</t>
  </si>
  <si>
    <t>El aumento de volumen del material al ser removido.</t>
  </si>
  <si>
    <t xml:space="preserve">Volumen Total CY </t>
  </si>
  <si>
    <t>LF xH</t>
  </si>
  <si>
    <t>Rendimiento Maquina</t>
  </si>
  <si>
    <t xml:space="preserve">Rendimiento x Día </t>
  </si>
  <si>
    <t>JD 510P</t>
  </si>
  <si>
    <t>Total LFx Dia</t>
  </si>
  <si>
    <t>Estimación para Pies cuadrados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</si>
</sst>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/>
    <xf numFmtId="0" fontId="2" fillId="0" borderId="0" xfId="1" applyAlignment="1">
      <alignment horizontal="center"/>
    </xf>
    <xf numFmtId="9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/>
    </xf>
    <xf numFmtId="3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  <xf numFmtId="2" fontId="0" fillId="0" borderId="0" xfId="0" applyNumberFormat="1"/>
    <xf numFmtId="0" fontId="5" fillId="0" borderId="2" xfId="0" applyFont="1" applyBorder="1" applyAlignment="1">
      <alignment horizontal="left" vertical="center" wrapText="1" indent="1" readingOrder="1"/>
    </xf>
    <xf numFmtId="0" fontId="5" fillId="0" borderId="2" xfId="0" applyFont="1" applyBorder="1" applyAlignment="1">
      <alignment vertical="center" wrapText="1" readingOrder="1"/>
    </xf>
    <xf numFmtId="0" fontId="4" fillId="0" borderId="2" xfId="0" applyFont="1" applyBorder="1" applyAlignment="1">
      <alignment horizontal="left" vertical="center" wrapText="1" indent="1" readingOrder="1"/>
    </xf>
    <xf numFmtId="0" fontId="4" fillId="0" borderId="2" xfId="0" applyFont="1" applyBorder="1" applyAlignment="1">
      <alignment vertical="center" wrapText="1" readingOrder="1"/>
    </xf>
    <xf numFmtId="4" fontId="0" fillId="0" borderId="0" xfId="0" applyNumberFormat="1"/>
    <xf numFmtId="0" fontId="3" fillId="3" borderId="0" xfId="0" applyFont="1" applyFill="1"/>
    <xf numFmtId="0" fontId="0" fillId="3" borderId="0" xfId="0" applyFill="1"/>
  </cellXfs>
  <cellStyles count="2">
    <cellStyle name="Normal" xfId="0" builtinId="0"/>
    <cellStyle name="Normal 2" xfId="1" xr:uid="{2A46A4D2-42F5-4366-91BB-20797B271F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036BC-841E-435A-8402-E8611E6214BC}">
  <dimension ref="B2:I15"/>
  <sheetViews>
    <sheetView tabSelected="1" topLeftCell="B1" workbookViewId="0">
      <selection activeCell="E5" sqref="E5"/>
    </sheetView>
  </sheetViews>
  <sheetFormatPr baseColWidth="10" defaultRowHeight="14.5" x14ac:dyDescent="0.35"/>
  <cols>
    <col min="2" max="2" width="19.7265625" customWidth="1"/>
    <col min="3" max="3" width="9.26953125" customWidth="1"/>
    <col min="6" max="6" width="18.1796875" customWidth="1"/>
    <col min="7" max="7" width="16.54296875" bestFit="1" customWidth="1"/>
    <col min="9" max="9" width="16.1796875" customWidth="1"/>
  </cols>
  <sheetData>
    <row r="2" spans="2:9" x14ac:dyDescent="0.35">
      <c r="B2" s="16" t="s">
        <v>41</v>
      </c>
      <c r="C2" s="17"/>
    </row>
    <row r="4" spans="2:9" x14ac:dyDescent="0.35">
      <c r="B4" s="1" t="s">
        <v>12</v>
      </c>
      <c r="C4" s="2">
        <v>10000</v>
      </c>
      <c r="D4" t="s">
        <v>13</v>
      </c>
      <c r="F4" s="8" t="s">
        <v>1</v>
      </c>
      <c r="G4" s="8" t="s">
        <v>38</v>
      </c>
      <c r="H4" s="8" t="s">
        <v>6</v>
      </c>
      <c r="I4" s="8" t="s">
        <v>40</v>
      </c>
    </row>
    <row r="5" spans="2:9" x14ac:dyDescent="0.35">
      <c r="B5" s="1" t="s">
        <v>14</v>
      </c>
      <c r="C5" s="2">
        <v>12</v>
      </c>
      <c r="D5" t="s">
        <v>24</v>
      </c>
      <c r="F5" s="5" t="s">
        <v>39</v>
      </c>
      <c r="G5" s="6">
        <f>+C4/C9*8</f>
        <v>266.66666666666669</v>
      </c>
      <c r="H5" s="5">
        <v>2</v>
      </c>
      <c r="I5" s="7">
        <f>+G5*H5</f>
        <v>533.33333333333337</v>
      </c>
    </row>
    <row r="6" spans="2:9" x14ac:dyDescent="0.35">
      <c r="B6" s="1"/>
      <c r="C6" s="2"/>
      <c r="F6" s="5"/>
      <c r="G6" s="6"/>
      <c r="H6" s="5"/>
      <c r="I6" s="7"/>
    </row>
    <row r="7" spans="2:9" x14ac:dyDescent="0.35">
      <c r="B7" s="1" t="s">
        <v>0</v>
      </c>
      <c r="C7" s="4">
        <v>0.15</v>
      </c>
      <c r="F7" s="5"/>
      <c r="G7" s="6" t="str">
        <f>IFERROR(VLOOKUP(F7,Datos!$B$2:$C$5,2,0),"")</f>
        <v/>
      </c>
      <c r="H7" s="5">
        <v>0</v>
      </c>
      <c r="I7" s="7">
        <f t="shared" ref="I6:I8" si="0">IF(G7="",0,H7*G7*$C$9)</f>
        <v>0</v>
      </c>
    </row>
    <row r="8" spans="2:9" x14ac:dyDescent="0.35">
      <c r="B8" s="1" t="s">
        <v>35</v>
      </c>
      <c r="C8" s="15">
        <f>+C4*C5/12/27*1.15</f>
        <v>425.92592592592592</v>
      </c>
      <c r="D8" t="s">
        <v>2</v>
      </c>
      <c r="F8" s="5"/>
      <c r="G8" s="6" t="str">
        <f>IFERROR(VLOOKUP(F8,Datos!$B$2:$C$5,2,0),"")</f>
        <v/>
      </c>
      <c r="H8" s="5">
        <v>1</v>
      </c>
      <c r="I8" s="7">
        <f t="shared" si="0"/>
        <v>0</v>
      </c>
    </row>
    <row r="9" spans="2:9" x14ac:dyDescent="0.35">
      <c r="B9" s="1" t="s">
        <v>37</v>
      </c>
      <c r="C9" s="2">
        <v>300</v>
      </c>
      <c r="D9" t="s">
        <v>36</v>
      </c>
      <c r="I9" s="7">
        <f>SUM(I5:I8)</f>
        <v>533.33333333333337</v>
      </c>
    </row>
    <row r="10" spans="2:9" x14ac:dyDescent="0.35">
      <c r="F10" t="s">
        <v>7</v>
      </c>
      <c r="G10">
        <f>ROUND(C4/I9,0)</f>
        <v>19</v>
      </c>
    </row>
    <row r="12" spans="2:9" x14ac:dyDescent="0.35">
      <c r="F12" t="s">
        <v>8</v>
      </c>
      <c r="G12" s="9">
        <v>46143</v>
      </c>
    </row>
    <row r="13" spans="2:9" x14ac:dyDescent="0.35">
      <c r="F13" t="s">
        <v>9</v>
      </c>
      <c r="G13" s="9">
        <f>WORKDAY.INTL(G12,G10,11)</f>
        <v>46165</v>
      </c>
    </row>
    <row r="14" spans="2:9" x14ac:dyDescent="0.35">
      <c r="F14" t="s">
        <v>10</v>
      </c>
      <c r="G14" s="10">
        <f>+(G13-G12)/30.44</f>
        <v>0.72273324572930353</v>
      </c>
    </row>
    <row r="15" spans="2:9" x14ac:dyDescent="0.35">
      <c r="F15" t="s">
        <v>11</v>
      </c>
      <c r="G15" s="10">
        <f>+G13-G12</f>
        <v>22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336C9316-7C48-4C94-9665-C6AD1A6B5BFD}">
          <x14:formula1>
            <xm:f>Datos!$B$2:$B$5</xm:f>
          </x14:formula1>
          <xm:sqref>F5:F8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F834E-1C93-442E-B7E9-0E4719A55FF5}">
  <dimension ref="B1:C3"/>
  <sheetViews>
    <sheetView workbookViewId="0">
      <selection activeCell="B3" sqref="B3"/>
    </sheetView>
  </sheetViews>
  <sheetFormatPr baseColWidth="10" defaultRowHeight="14.5" x14ac:dyDescent="0.35"/>
  <cols>
    <col min="2" max="2" width="9.08984375" bestFit="1" customWidth="1"/>
    <col min="3" max="3" width="10" bestFit="1" customWidth="1"/>
  </cols>
  <sheetData>
    <row r="1" spans="2:3" x14ac:dyDescent="0.35">
      <c r="B1" t="s">
        <v>3</v>
      </c>
      <c r="C1" t="s">
        <v>5</v>
      </c>
    </row>
    <row r="2" spans="2:3" ht="16" x14ac:dyDescent="0.4">
      <c r="B2" s="3" t="s">
        <v>39</v>
      </c>
      <c r="C2" s="3">
        <v>60</v>
      </c>
    </row>
    <row r="3" spans="2:3" ht="16" x14ac:dyDescent="0.4">
      <c r="B3" s="3" t="s">
        <v>4</v>
      </c>
      <c r="C3" s="3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31258-C340-42E7-AB6F-61BDA483039E}">
  <dimension ref="D2:G7"/>
  <sheetViews>
    <sheetView workbookViewId="0">
      <selection activeCell="C10" sqref="C10"/>
    </sheetView>
  </sheetViews>
  <sheetFormatPr baseColWidth="10" defaultRowHeight="14.5" x14ac:dyDescent="0.35"/>
  <cols>
    <col min="4" max="4" width="25.7265625" customWidth="1"/>
    <col min="5" max="5" width="19.81640625" customWidth="1"/>
    <col min="6" max="6" width="16.7265625" customWidth="1"/>
    <col min="7" max="7" width="26.7265625" customWidth="1"/>
  </cols>
  <sheetData>
    <row r="2" spans="4:7" ht="15" thickBot="1" x14ac:dyDescent="0.4"/>
    <row r="3" spans="4:7" ht="28.5" thickBot="1" x14ac:dyDescent="0.4">
      <c r="D3" s="11" t="s">
        <v>15</v>
      </c>
      <c r="E3" s="11" t="s">
        <v>16</v>
      </c>
      <c r="F3" s="11" t="s">
        <v>17</v>
      </c>
      <c r="G3" s="12" t="s">
        <v>18</v>
      </c>
    </row>
    <row r="4" spans="4:7" ht="47" customHeight="1" thickBot="1" x14ac:dyDescent="0.4">
      <c r="D4" s="11" t="s">
        <v>19</v>
      </c>
      <c r="E4" s="11" t="s">
        <v>20</v>
      </c>
      <c r="F4" s="13" t="s">
        <v>21</v>
      </c>
      <c r="G4" s="14" t="s">
        <v>22</v>
      </c>
    </row>
    <row r="5" spans="4:7" ht="47" customHeight="1" thickBot="1" x14ac:dyDescent="0.4">
      <c r="D5" s="11" t="s">
        <v>23</v>
      </c>
      <c r="E5" s="11" t="s">
        <v>24</v>
      </c>
      <c r="F5" s="13" t="s">
        <v>25</v>
      </c>
      <c r="G5" s="14" t="s">
        <v>26</v>
      </c>
    </row>
    <row r="6" spans="4:7" ht="47" customHeight="1" thickBot="1" x14ac:dyDescent="0.4">
      <c r="D6" s="11" t="s">
        <v>27</v>
      </c>
      <c r="E6" s="11" t="s">
        <v>28</v>
      </c>
      <c r="F6" s="13" t="s">
        <v>29</v>
      </c>
      <c r="G6" s="14" t="s">
        <v>30</v>
      </c>
    </row>
    <row r="7" spans="4:7" ht="47" customHeight="1" thickBot="1" x14ac:dyDescent="0.4">
      <c r="D7" s="11" t="s">
        <v>31</v>
      </c>
      <c r="E7" s="11" t="s">
        <v>32</v>
      </c>
      <c r="F7" s="13" t="s">
        <v>33</v>
      </c>
      <c r="G7" s="1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Estimación tiempo</vt:lpstr>
      <vt:lpstr>Datos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parra</dc:creator>
  <cp:lastModifiedBy>fred parra</cp:lastModifiedBy>
  <dcterms:created xsi:type="dcterms:W3CDTF">2026-03-10T00:34:44Z</dcterms:created>
  <dcterms:modified xsi:type="dcterms:W3CDTF">2026-04-10T18:13:40Z</dcterms:modified>
</cp:coreProperties>
</file>