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red\Programas\Golf 2\"/>
    </mc:Choice>
  </mc:AlternateContent>
  <xr:revisionPtr revIDLastSave="0" documentId="13_ncr:1_{61C1B3D5-AB50-474A-BE23-73DF716B3381}" xr6:coauthVersionLast="47" xr6:coauthVersionMax="47" xr10:uidLastSave="{00000000-0000-0000-0000-000000000000}"/>
  <bookViews>
    <workbookView xWindow="-110" yWindow="-110" windowWidth="19420" windowHeight="10300" xr2:uid="{A5A6117D-28CC-4D21-8E22-9E57777C4A99}"/>
  </bookViews>
  <sheets>
    <sheet name="Hoja1" sheetId="1" r:id="rId1"/>
    <sheet name="Dat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  <c r="G15" i="1"/>
  <c r="G14" i="1"/>
  <c r="G13" i="1"/>
  <c r="G10" i="1"/>
  <c r="I9" i="1"/>
  <c r="G8" i="1"/>
  <c r="I8" i="1" s="1"/>
  <c r="I6" i="1"/>
  <c r="I7" i="1"/>
  <c r="I5" i="1"/>
  <c r="G7" i="1"/>
  <c r="G6" i="1"/>
  <c r="G5" i="1"/>
  <c r="C8" i="1"/>
</calcChain>
</file>

<file path=xl/sharedStrings.xml><?xml version="1.0" encoding="utf-8"?>
<sst xmlns="http://schemas.openxmlformats.org/spreadsheetml/2006/main" count="26" uniqueCount="19">
  <si>
    <t>Cantidad de Qty:</t>
  </si>
  <si>
    <t>TOPSOIL</t>
  </si>
  <si>
    <t>Swell Factor (%)</t>
  </si>
  <si>
    <t>Total CY Loose</t>
  </si>
  <si>
    <t>Compacted</t>
  </si>
  <si>
    <t>Maquinarias</t>
  </si>
  <si>
    <t>Capacidad x Maquina</t>
  </si>
  <si>
    <t>Qty</t>
  </si>
  <si>
    <t>Maquinas</t>
  </si>
  <si>
    <t>JD410P</t>
  </si>
  <si>
    <t>SCRAPER</t>
  </si>
  <si>
    <t>Viajes x Día</t>
  </si>
  <si>
    <t>Cantidad</t>
  </si>
  <si>
    <t>Total Qty x Dia</t>
  </si>
  <si>
    <t>Cantidad Dias Trabajo</t>
  </si>
  <si>
    <t>Fecha Inicio:</t>
  </si>
  <si>
    <t>Fecha Fin</t>
  </si>
  <si>
    <t>Cantidad de meses</t>
  </si>
  <si>
    <t>Días Totales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</si>
</sst>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0" fillId="0" borderId="0" xfId="0" applyAlignment="1">
      <alignment horizontal="right"/>
    </xf>
    <xf numFmtId="3" fontId="0" fillId="0" borderId="0" xfId="0" applyNumberFormat="1"/>
    <xf numFmtId="0" fontId="2" fillId="0" borderId="0" xfId="1" applyAlignment="1">
      <alignment horizontal="center"/>
    </xf>
    <xf numFmtId="9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 vertical="center"/>
    </xf>
    <xf numFmtId="3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  <xf numFmtId="14" fontId="0" fillId="0" borderId="0" xfId="0" applyNumberFormat="1"/>
    <xf numFmtId="2" fontId="0" fillId="0" borderId="0" xfId="0" applyNumberFormat="1"/>
  </cellXfs>
  <cellStyles count="2">
    <cellStyle name="Normal" xfId="0" builtinId="0"/>
    <cellStyle name="Normal 2" xfId="1" xr:uid="{2A46A4D2-42F5-4366-91BB-20797B271FD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29E06-304D-4B19-93AF-A59960060A7A}">
  <dimension ref="B4:I15"/>
  <sheetViews>
    <sheetView tabSelected="1" workbookViewId="0">
      <selection activeCell="L4" sqref="L4"/>
    </sheetView>
  </sheetViews>
  <sheetFormatPr baseColWidth="10" defaultRowHeight="14.5" x14ac:dyDescent="0.35"/>
  <cols>
    <col min="2" max="2" width="18.08984375" bestFit="1" customWidth="1"/>
    <col min="6" max="6" width="18.1796875" customWidth="1"/>
    <col min="7" max="7" width="10.7265625" customWidth="1"/>
    <col min="9" max="9" width="12.26953125" bestFit="1" customWidth="1"/>
  </cols>
  <sheetData>
    <row r="4" spans="2:9" x14ac:dyDescent="0.35">
      <c r="B4" s="1" t="s">
        <v>0</v>
      </c>
      <c r="C4" s="2">
        <v>674000</v>
      </c>
      <c r="D4" t="s">
        <v>7</v>
      </c>
      <c r="F4" s="8" t="s">
        <v>5</v>
      </c>
      <c r="G4" s="8" t="s">
        <v>11</v>
      </c>
      <c r="H4" s="8" t="s">
        <v>12</v>
      </c>
      <c r="I4" s="8" t="s">
        <v>13</v>
      </c>
    </row>
    <row r="5" spans="2:9" x14ac:dyDescent="0.35">
      <c r="B5" s="1" t="s">
        <v>1</v>
      </c>
      <c r="C5" s="2">
        <v>100000</v>
      </c>
      <c r="D5" t="s">
        <v>7</v>
      </c>
      <c r="F5" s="5" t="s">
        <v>9</v>
      </c>
      <c r="G5" s="6">
        <f>IFERROR(VLOOKUP(F5,Datos!$B$2:$C$5,2,0),"")</f>
        <v>60</v>
      </c>
      <c r="H5" s="5">
        <v>4</v>
      </c>
      <c r="I5" s="7">
        <f>IF(G5="",0,H5*G5*$C$9)</f>
        <v>7200</v>
      </c>
    </row>
    <row r="6" spans="2:9" x14ac:dyDescent="0.35">
      <c r="B6" s="1" t="s">
        <v>4</v>
      </c>
      <c r="C6" s="2">
        <f>+C4+C5</f>
        <v>774000</v>
      </c>
      <c r="D6" t="s">
        <v>7</v>
      </c>
      <c r="F6" s="5" t="s">
        <v>10</v>
      </c>
      <c r="G6" s="6">
        <f>IFERROR(VLOOKUP(F6,Datos!$B$2:$C$5,2,0),"")</f>
        <v>80</v>
      </c>
      <c r="H6" s="5">
        <v>2</v>
      </c>
      <c r="I6" s="7">
        <f t="shared" ref="I6:I7" si="0">IF(G6="",0,H6*G6*$C$9)</f>
        <v>4800</v>
      </c>
    </row>
    <row r="7" spans="2:9" x14ac:dyDescent="0.35">
      <c r="B7" s="1" t="s">
        <v>2</v>
      </c>
      <c r="C7" s="4">
        <v>0.15</v>
      </c>
      <c r="F7" s="5"/>
      <c r="G7" s="6" t="str">
        <f>IFERROR(VLOOKUP(F7,Datos!$B$2:$C$5,2,0),"")</f>
        <v/>
      </c>
      <c r="H7" s="5">
        <v>0</v>
      </c>
      <c r="I7" s="7">
        <f t="shared" si="0"/>
        <v>0</v>
      </c>
    </row>
    <row r="8" spans="2:9" x14ac:dyDescent="0.35">
      <c r="B8" s="1" t="s">
        <v>3</v>
      </c>
      <c r="C8" s="2">
        <f>C6+C7*C6</f>
        <v>890100</v>
      </c>
      <c r="D8" t="s">
        <v>7</v>
      </c>
      <c r="F8" s="5"/>
      <c r="G8" s="6" t="str">
        <f>IFERROR(VLOOKUP(F8,Datos!$B$2:$C$5,2,0),"")</f>
        <v/>
      </c>
      <c r="H8" s="5">
        <v>1</v>
      </c>
      <c r="I8" s="7">
        <f t="shared" ref="I8" si="1">IF(G8="",0,H8*G8*$C$9)</f>
        <v>0</v>
      </c>
    </row>
    <row r="9" spans="2:9" x14ac:dyDescent="0.35">
      <c r="B9" s="1" t="s">
        <v>6</v>
      </c>
      <c r="C9" s="2">
        <v>30</v>
      </c>
      <c r="D9" t="s">
        <v>7</v>
      </c>
      <c r="I9" s="7">
        <f>SUM(I5:I8)</f>
        <v>12000</v>
      </c>
    </row>
    <row r="10" spans="2:9" x14ac:dyDescent="0.35">
      <c r="F10" t="s">
        <v>14</v>
      </c>
      <c r="G10">
        <f>ROUND(C8/I9,0)</f>
        <v>74</v>
      </c>
    </row>
    <row r="12" spans="2:9" x14ac:dyDescent="0.35">
      <c r="F12" t="s">
        <v>15</v>
      </c>
      <c r="G12" s="9">
        <v>46113</v>
      </c>
    </row>
    <row r="13" spans="2:9" x14ac:dyDescent="0.35">
      <c r="F13" t="s">
        <v>16</v>
      </c>
      <c r="G13" s="9">
        <f>WORKDAY.INTL(G12,G10,11)</f>
        <v>46199</v>
      </c>
    </row>
    <row r="14" spans="2:9" x14ac:dyDescent="0.35">
      <c r="F14" t="s">
        <v>17</v>
      </c>
      <c r="G14" s="10">
        <f>+(G13-G12)/30.44</f>
        <v>2.8252299605781865</v>
      </c>
    </row>
    <row r="15" spans="2:9" x14ac:dyDescent="0.35">
      <c r="F15" t="s">
        <v>18</v>
      </c>
      <c r="G15" s="10">
        <f>+G13-G12</f>
        <v>86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B28CFA3-816A-4140-9273-E88D9BE64531}">
          <x14:formula1>
            <xm:f>Datos!$B$2:$B$5</xm:f>
          </x14:formula1>
          <xm:sqref>F5:F8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F834E-1C93-442E-B7E9-0E4719A55FF5}">
  <dimension ref="B1:C3"/>
  <sheetViews>
    <sheetView workbookViewId="0">
      <selection activeCell="B2" sqref="B2"/>
    </sheetView>
  </sheetViews>
  <sheetFormatPr baseColWidth="10" defaultRowHeight="14.5" x14ac:dyDescent="0.35"/>
  <cols>
    <col min="2" max="2" width="9.08984375" bestFit="1" customWidth="1"/>
    <col min="3" max="3" width="10" bestFit="1" customWidth="1"/>
  </cols>
  <sheetData>
    <row r="1" spans="2:3" x14ac:dyDescent="0.35">
      <c r="B1" t="s">
        <v>8</v>
      </c>
      <c r="C1" t="s">
        <v>11</v>
      </c>
    </row>
    <row r="2" spans="2:3" ht="16" x14ac:dyDescent="0.4">
      <c r="B2" s="3" t="s">
        <v>9</v>
      </c>
      <c r="C2" s="3">
        <v>60</v>
      </c>
    </row>
    <row r="3" spans="2:3" ht="16" x14ac:dyDescent="0.4">
      <c r="B3" s="3" t="s">
        <v>10</v>
      </c>
      <c r="C3" s="3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 parra</dc:creator>
  <cp:lastModifiedBy>fred parra</cp:lastModifiedBy>
  <dcterms:created xsi:type="dcterms:W3CDTF">2026-03-10T00:34:44Z</dcterms:created>
  <dcterms:modified xsi:type="dcterms:W3CDTF">2026-03-10T02:37:22Z</dcterms:modified>
</cp:coreProperties>
</file>